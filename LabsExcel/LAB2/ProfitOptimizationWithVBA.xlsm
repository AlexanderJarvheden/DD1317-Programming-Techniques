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IndekProg/Excel/"/>
    </mc:Choice>
  </mc:AlternateContent>
  <xr:revisionPtr revIDLastSave="0" documentId="13_ncr:1_{B98FE629-A429-D74C-921F-30A78DF09B1E}" xr6:coauthVersionLast="47" xr6:coauthVersionMax="47" xr10:uidLastSave="{00000000-0000-0000-0000-000000000000}"/>
  <bookViews>
    <workbookView xWindow="0" yWindow="0" windowWidth="28800" windowHeight="18000" xr2:uid="{72E73C6F-BE10-BB45-B82E-8CCC66F7EB8B}"/>
  </bookViews>
  <sheets>
    <sheet name="Profit &amp; Demand VBA" sheetId="1" r:id="rId1"/>
  </sheets>
  <functionGroups builtInGroupCount="19"/>
  <definedNames>
    <definedName name="solver_adj" localSheetId="0" hidden="1">'Profit &amp; Demand VBA'!$C$7:$C$8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'Profit &amp; Demand VBA'!$C$8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opt" localSheetId="0" hidden="1">'Profit &amp; Demand VBA'!$C$9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hs1" localSheetId="0" hidden="1">2000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C13" i="1"/>
  <c r="E12" i="1"/>
  <c r="C12" i="1"/>
  <c r="G14" i="1"/>
  <c r="G12" i="1"/>
  <c r="J14" i="1" a="1"/>
  <c r="J12" i="1" a="1"/>
  <c r="D18" i="1" a="1"/>
  <c r="H18" i="1" a="1"/>
  <c r="F19" i="1" a="1"/>
  <c r="D20" i="1" a="1"/>
  <c r="H20" i="1" a="1"/>
  <c r="F21" i="1" a="1"/>
  <c r="D22" i="1" a="1"/>
  <c r="H22" i="1" a="1"/>
  <c r="F23" i="1" a="1"/>
  <c r="D24" i="1" a="1"/>
  <c r="H24" i="1" a="1"/>
  <c r="F25" i="1" a="1"/>
  <c r="D26" i="1" a="1"/>
  <c r="H26" i="1" a="1"/>
  <c r="F27" i="1" a="1"/>
  <c r="D28" i="1" a="1"/>
  <c r="H28" i="1" a="1"/>
  <c r="C9" i="1" a="1"/>
  <c r="I18" i="1" a="1"/>
  <c r="E20" i="1" a="1"/>
  <c r="G21" i="1" a="1"/>
  <c r="I22" i="1" a="1"/>
  <c r="E24" i="1" a="1"/>
  <c r="G25" i="1" a="1"/>
  <c r="I26" i="1" a="1"/>
  <c r="E28" i="1" a="1"/>
  <c r="F18" i="1" a="1"/>
  <c r="D19" i="1" a="1"/>
  <c r="H19" i="1" a="1"/>
  <c r="F20" i="1" a="1"/>
  <c r="D21" i="1" a="1"/>
  <c r="H21" i="1" a="1"/>
  <c r="F22" i="1" a="1"/>
  <c r="D23" i="1" a="1"/>
  <c r="H23" i="1" a="1"/>
  <c r="F24" i="1" a="1"/>
  <c r="D25" i="1" a="1"/>
  <c r="H25" i="1" a="1"/>
  <c r="F26" i="1" a="1"/>
  <c r="D27" i="1" a="1"/>
  <c r="H27" i="1" a="1"/>
  <c r="F28" i="1" a="1"/>
  <c r="G18" i="1" a="1"/>
  <c r="E19" i="1" a="1"/>
  <c r="I19" i="1" a="1"/>
  <c r="G20" i="1" a="1"/>
  <c r="E21" i="1" a="1"/>
  <c r="I21" i="1" a="1"/>
  <c r="G22" i="1" a="1"/>
  <c r="E23" i="1" a="1"/>
  <c r="I23" i="1" a="1"/>
  <c r="G24" i="1" a="1"/>
  <c r="E25" i="1" a="1"/>
  <c r="I25" i="1" a="1"/>
  <c r="G26" i="1" a="1"/>
  <c r="E27" i="1" a="1"/>
  <c r="I27" i="1" a="1"/>
  <c r="G28" i="1" a="1"/>
  <c r="E18" i="1" a="1"/>
  <c r="G19" i="1" a="1"/>
  <c r="I20" i="1" a="1"/>
  <c r="E22" i="1" a="1"/>
  <c r="G23" i="1" a="1"/>
  <c r="I24" i="1" a="1"/>
  <c r="E26" i="1" a="1"/>
  <c r="G27" i="1" a="1"/>
  <c r="I28" i="1" a="1"/>
  <c r="K12" i="1"/>
  <c r="D9" i="1"/>
  <c r="K14" i="1"/>
  <c r="J14" i="1" l="1"/>
  <c r="J12" i="1"/>
  <c r="K13" i="1"/>
  <c r="I28" i="1"/>
  <c r="G27" i="1"/>
  <c r="E26" i="1"/>
  <c r="I24" i="1"/>
  <c r="G23" i="1"/>
  <c r="E22" i="1"/>
  <c r="I20" i="1"/>
  <c r="G19" i="1"/>
  <c r="E18" i="1"/>
  <c r="G28" i="1"/>
  <c r="I27" i="1"/>
  <c r="E27" i="1"/>
  <c r="G26" i="1"/>
  <c r="I25" i="1"/>
  <c r="E25" i="1"/>
  <c r="G24" i="1"/>
  <c r="I23" i="1"/>
  <c r="E23" i="1"/>
  <c r="G22" i="1"/>
  <c r="I21" i="1"/>
  <c r="E21" i="1"/>
  <c r="G20" i="1"/>
  <c r="I19" i="1"/>
  <c r="E19" i="1"/>
  <c r="G18" i="1"/>
  <c r="F28" i="1"/>
  <c r="H27" i="1"/>
  <c r="D27" i="1"/>
  <c r="F26" i="1"/>
  <c r="H25" i="1"/>
  <c r="D25" i="1"/>
  <c r="F24" i="1"/>
  <c r="H23" i="1"/>
  <c r="D23" i="1"/>
  <c r="F22" i="1"/>
  <c r="H21" i="1"/>
  <c r="D21" i="1"/>
  <c r="F20" i="1"/>
  <c r="H19" i="1"/>
  <c r="D19" i="1"/>
  <c r="F18" i="1"/>
  <c r="E28" i="1"/>
  <c r="I26" i="1"/>
  <c r="G25" i="1"/>
  <c r="E24" i="1"/>
  <c r="I22" i="1"/>
  <c r="G21" i="1"/>
  <c r="E20" i="1"/>
  <c r="I18" i="1"/>
  <c r="H28" i="1"/>
  <c r="D28" i="1"/>
  <c r="F27" i="1"/>
  <c r="H26" i="1"/>
  <c r="D26" i="1"/>
  <c r="F25" i="1"/>
  <c r="H24" i="1"/>
  <c r="D24" i="1"/>
  <c r="F23" i="1"/>
  <c r="H22" i="1"/>
  <c r="D22" i="1"/>
  <c r="F21" i="1"/>
  <c r="H20" i="1"/>
  <c r="D20" i="1"/>
  <c r="F19" i="1"/>
  <c r="H18" i="1"/>
  <c r="D18" i="1"/>
  <c r="C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<sst xmlns="http://schemas.openxmlformats.org/spreadsheetml/2006/main" count="23" uniqueCount="20">
  <si>
    <t>𝑃𝑟𝑜𝑓𝑖𝑡(Price, VC, Adv, FC, MarketSize) =</t>
  </si>
  <si>
    <t xml:space="preserve">(𝑃𝑟𝑖𝑐𝑒 − 𝑉𝐶) ∗ 𝐷𝑒𝑚𝑎𝑛𝑑(𝑀𝑎𝑟𝑘𝑒𝑡𝑆𝑖𝑧𝑒, 𝑃𝑟𝑖𝑐𝑒, 𝐴𝑑𝑣) − 𝐴𝑑𝑣 − 𝐹𝐶 </t>
  </si>
  <si>
    <t>FC =</t>
  </si>
  <si>
    <t>per month</t>
  </si>
  <si>
    <t xml:space="preserve">VC = </t>
  </si>
  <si>
    <t>per sold item</t>
  </si>
  <si>
    <t xml:space="preserve">Market size = </t>
  </si>
  <si>
    <t>potential customers</t>
  </si>
  <si>
    <t xml:space="preserve">Price = </t>
  </si>
  <si>
    <t>Advertising =</t>
  </si>
  <si>
    <t>Profit =</t>
  </si>
  <si>
    <t>Market Size</t>
  </si>
  <si>
    <t>Optimal Advertising</t>
  </si>
  <si>
    <t>Optimal Price</t>
  </si>
  <si>
    <t>Profit</t>
  </si>
  <si>
    <t>Market Size (100% = 1100)</t>
  </si>
  <si>
    <t xml:space="preserve"> </t>
  </si>
  <si>
    <t>Price</t>
  </si>
  <si>
    <t>Advertising</t>
  </si>
  <si>
    <t>Profit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</si>
</sst>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[$$-409]* #,##0_ ;_-[$$-409]* \-#,##0\ ;_-[$$-409]* &quot;-&quot;??_ ;_-@_ "/>
  </numFmts>
  <fonts count="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mbriaMath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right"/>
    </xf>
    <xf numFmtId="0" fontId="4" fillId="0" borderId="0" xfId="0" applyFont="1"/>
    <xf numFmtId="43" fontId="0" fillId="0" borderId="0" xfId="1" applyFont="1"/>
    <xf numFmtId="9" fontId="0" fillId="0" borderId="0" xfId="0" applyNumberFormat="1"/>
    <xf numFmtId="0" fontId="0" fillId="2" borderId="0" xfId="0" applyFill="1"/>
    <xf numFmtId="1" fontId="0" fillId="2" borderId="3" xfId="0" applyNumberFormat="1" applyFill="1" applyBorder="1"/>
    <xf numFmtId="1" fontId="0" fillId="0" borderId="3" xfId="0" applyNumberFormat="1" applyBorder="1"/>
    <xf numFmtId="164" fontId="0" fillId="0" borderId="0" xfId="0" applyNumberFormat="1"/>
    <xf numFmtId="164" fontId="0" fillId="0" borderId="0" xfId="1" applyNumberFormat="1" applyFont="1"/>
    <xf numFmtId="0" fontId="3" fillId="0" borderId="2" xfId="3" applyAlignment="1">
      <alignment horizontal="left" indent="1"/>
    </xf>
    <xf numFmtId="164" fontId="3" fillId="0" borderId="2" xfId="3" applyNumberFormat="1"/>
    <xf numFmtId="0" fontId="3" fillId="0" borderId="0" xfId="0" applyFont="1" applyAlignment="1">
      <alignment horizontal="center" vertical="center"/>
    </xf>
    <xf numFmtId="43" fontId="0" fillId="0" borderId="3" xfId="1" applyFont="1" applyBorder="1"/>
    <xf numFmtId="43" fontId="0" fillId="0" borderId="5" xfId="1" applyFont="1" applyBorder="1"/>
    <xf numFmtId="43" fontId="0" fillId="0" borderId="7" xfId="1" applyFont="1" applyBorder="1"/>
    <xf numFmtId="43" fontId="0" fillId="0" borderId="8" xfId="1" applyFont="1" applyBorder="1"/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4" xfId="0" applyFont="1" applyBorder="1" applyAlignment="1">
      <alignment horizontal="center" vertical="center" textRotation="60"/>
    </xf>
    <xf numFmtId="0" fontId="6" fillId="0" borderId="6" xfId="0" applyFont="1" applyBorder="1" applyAlignment="1">
      <alignment horizontal="center" vertical="center" textRotation="60"/>
    </xf>
    <xf numFmtId="0" fontId="6" fillId="0" borderId="14" xfId="2" applyFont="1" applyBorder="1" applyAlignment="1">
      <alignment horizontal="center" vertical="center"/>
    </xf>
    <xf numFmtId="0" fontId="6" fillId="0" borderId="15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0" fontId="6" fillId="0" borderId="9" xfId="2" applyFont="1" applyBorder="1" applyAlignment="1">
      <alignment horizontal="center" vertical="center"/>
    </xf>
    <xf numFmtId="1" fontId="0" fillId="0" borderId="0" xfId="0" applyNumberFormat="1" applyFill="1" applyBorder="1"/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9" fontId="0" fillId="2" borderId="3" xfId="4" applyFont="1" applyFill="1" applyBorder="1"/>
    <xf numFmtId="9" fontId="0" fillId="0" borderId="3" xfId="4" applyFont="1" applyBorder="1"/>
  </cellXfs>
  <cellStyles count="5">
    <cellStyle name="Comma" xfId="1" builtinId="3"/>
    <cellStyle name="Heading 1" xfId="2" builtinId="16"/>
    <cellStyle name="Normal" xfId="0" builtinId="0"/>
    <cellStyle name="Percent" xfId="4" builtinId="5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Optimal price and advertising based on market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'Profit &amp; Demand VBA'!$B$12</c:f>
              <c:strCache>
                <c:ptCount val="1"/>
                <c:pt idx="0">
                  <c:v>Optimal Advertising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'Profit &amp; Demand VBA'!$C$11:$E$11</c:f>
              <c:numCache>
                <c:formatCode>0%</c:formatCode>
                <c:ptCount val="3"/>
                <c:pt idx="0">
                  <c:v>0.9</c:v>
                </c:pt>
                <c:pt idx="1">
                  <c:v>1</c:v>
                </c:pt>
                <c:pt idx="2">
                  <c:v>1.1000000000000001</c:v>
                </c:pt>
              </c:numCache>
            </c:numRef>
          </c:cat>
          <c:val>
            <c:numRef>
              <c:f>'Profit &amp; Demand VBA'!$C$12:$E$12</c:f>
              <c:numCache>
                <c:formatCode>0%</c:formatCode>
                <c:ptCount val="3"/>
                <c:pt idx="0">
                  <c:v>0.7539967499590392</c:v>
                </c:pt>
                <c:pt idx="1">
                  <c:v>1</c:v>
                </c:pt>
                <c:pt idx="2">
                  <c:v>1.2777192899035645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0-2842-A41B-28C5943F5FA3}"/>
            </c:ext>
          </c:extLst>
        </c:ser>
        <c:ser>
          <c:idx val="1"/>
          <c:order val="1"/>
          <c:tx>
            <c:strRef>
              <c:f>'Profit &amp; Demand VBA'!$B$13</c:f>
              <c:strCache>
                <c:ptCount val="1"/>
                <c:pt idx="0">
                  <c:v>Optimal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'Profit &amp; Demand VBA'!$C$11:$E$11</c:f>
              <c:numCache>
                <c:formatCode>0%</c:formatCode>
                <c:ptCount val="3"/>
                <c:pt idx="0">
                  <c:v>0.9</c:v>
                </c:pt>
                <c:pt idx="1">
                  <c:v>1</c:v>
                </c:pt>
                <c:pt idx="2">
                  <c:v>1.1000000000000001</c:v>
                </c:pt>
              </c:numCache>
            </c:numRef>
          </c:cat>
          <c:val>
            <c:numRef>
              <c:f>'Profit &amp; Demand VBA'!$C$13:$E$13</c:f>
              <c:numCache>
                <c:formatCode>0%</c:formatCode>
                <c:ptCount val="3"/>
                <c:pt idx="0">
                  <c:v>0.92677679472022445</c:v>
                </c:pt>
                <c:pt idx="1">
                  <c:v>1</c:v>
                </c:pt>
                <c:pt idx="2">
                  <c:v>1.0742862416784176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90-2842-A41B-28C5943F5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537215"/>
        <c:axId val="148530143"/>
      </c:lineChart>
      <c:catAx>
        <c:axId val="176537215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48530143"/>
        <c:crosses val="autoZero"/>
        <c:auto val="1"/>
        <c:lblAlgn val="ctr"/>
        <c:lblOffset val="100"/>
        <c:noMultiLvlLbl val="0"/>
      </c:catAx>
      <c:valAx>
        <c:axId val="148530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653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14</xdr:row>
      <xdr:rowOff>88900</xdr:rowOff>
    </xdr:from>
    <xdr:to>
      <xdr:col>16</xdr:col>
      <xdr:colOff>508000</xdr:colOff>
      <xdr:row>31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D5D65AC-3E10-9FAE-D2A9-6F924EE22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74FA-DAFC-D742-AC48-0787CBF9B4BB}">
  <sheetPr codeName="Sheet1">
    <tabColor rgb="FFFF0000"/>
  </sheetPr>
  <dimension ref="B1:K28"/>
  <sheetViews>
    <sheetView tabSelected="1" workbookViewId="0">
      <selection activeCell="J30" sqref="J30"/>
    </sheetView>
  </sheetViews>
  <sheetFormatPr baseColWidth="10" defaultRowHeight="16"/>
  <cols>
    <col min="2" max="2" width="23.5" bestFit="1" customWidth="1"/>
    <col min="3" max="3" width="12.33203125" bestFit="1" customWidth="1"/>
    <col min="7" max="7" width="11" bestFit="1" customWidth="1"/>
    <col min="8" max="8" width="17.83203125" bestFit="1" customWidth="1"/>
    <col min="9" max="9" width="13.6640625" bestFit="1" customWidth="1"/>
    <col min="10" max="10" width="11.5" bestFit="1" customWidth="1"/>
  </cols>
  <sheetData>
    <row r="1" spans="2:11">
      <c r="B1" s="2" t="s">
        <v>0</v>
      </c>
    </row>
    <row r="2" spans="2:11">
      <c r="B2" s="2" t="s">
        <v>1</v>
      </c>
    </row>
    <row r="4" spans="2:11">
      <c r="B4" s="1" t="s">
        <v>2</v>
      </c>
      <c r="C4" s="9">
        <v>20000</v>
      </c>
      <c r="D4" t="s">
        <v>3</v>
      </c>
    </row>
    <row r="5" spans="2:11">
      <c r="B5" s="1" t="s">
        <v>4</v>
      </c>
      <c r="C5" s="8">
        <v>180</v>
      </c>
      <c r="D5" t="s">
        <v>5</v>
      </c>
    </row>
    <row r="6" spans="2:11">
      <c r="B6" s="1" t="s">
        <v>6</v>
      </c>
      <c r="C6">
        <v>1100</v>
      </c>
      <c r="D6" t="s">
        <v>7</v>
      </c>
    </row>
    <row r="7" spans="2:11">
      <c r="B7" s="1" t="s">
        <v>8</v>
      </c>
      <c r="C7" s="8">
        <v>411.37256809646732</v>
      </c>
    </row>
    <row r="8" spans="2:11">
      <c r="B8" s="1" t="s">
        <v>9</v>
      </c>
      <c r="C8" s="8">
        <v>13383.293241780733</v>
      </c>
      <c r="F8" t="s">
        <v>16</v>
      </c>
    </row>
    <row r="9" spans="2:11" ht="17" thickBot="1">
      <c r="B9" s="10" t="s">
        <v>10</v>
      </c>
      <c r="C9" s="11" cm="1">
        <f t="array" ref="C9">PROFIT(C7,C5,C8,C4,C6)</f>
        <v>74124.77106959201</v>
      </c>
      <c r="D9" t="str">
        <f ca="1">_xlfn.FORMULATEXT(C9)</f>
        <v>=PROFIT(C7;C5;C8;C4;C6)</v>
      </c>
    </row>
    <row r="10" spans="2:11" ht="17" thickTop="1">
      <c r="E10" t="s">
        <v>16</v>
      </c>
    </row>
    <row r="11" spans="2:11">
      <c r="B11" t="s">
        <v>15</v>
      </c>
      <c r="C11" s="4">
        <v>0.9</v>
      </c>
      <c r="D11" s="4">
        <v>1</v>
      </c>
      <c r="E11" s="4">
        <v>1.1000000000000001</v>
      </c>
      <c r="G11" s="12" t="s">
        <v>11</v>
      </c>
      <c r="H11" s="12" t="s">
        <v>12</v>
      </c>
      <c r="I11" s="12" t="s">
        <v>13</v>
      </c>
      <c r="J11" s="12" t="s">
        <v>14</v>
      </c>
    </row>
    <row r="12" spans="2:11">
      <c r="B12" s="5" t="s">
        <v>12</v>
      </c>
      <c r="C12" s="31">
        <f>H12/H13</f>
        <v>0.7539967499590392</v>
      </c>
      <c r="D12" s="31">
        <v>1</v>
      </c>
      <c r="E12" s="31">
        <f>H14/H13</f>
        <v>1.2777192899035645</v>
      </c>
      <c r="G12">
        <f>C6*0.9</f>
        <v>990</v>
      </c>
      <c r="H12" s="6">
        <v>10090.738504701822</v>
      </c>
      <c r="I12" s="7">
        <v>380.90526263001226</v>
      </c>
      <c r="J12" s="3" cm="1">
        <f t="array" ref="J12">PROFIT(I12,C5,H12,C4,G12)</f>
        <v>50346.483487435791</v>
      </c>
      <c r="K12" t="str">
        <f ca="1">_xlfn.FORMULATEXT(J12)</f>
        <v>=PROFIT(I12;C5;H12;C4;G12)</v>
      </c>
    </row>
    <row r="13" spans="2:11">
      <c r="B13" t="s">
        <v>13</v>
      </c>
      <c r="C13" s="32">
        <f>I12/I13</f>
        <v>0.92677679472022445</v>
      </c>
      <c r="D13" s="32">
        <v>1</v>
      </c>
      <c r="E13" s="32">
        <f>I14/I13</f>
        <v>1.0742862416784176</v>
      </c>
      <c r="G13" s="27">
        <v>1100</v>
      </c>
      <c r="H13" s="6">
        <v>13383</v>
      </c>
      <c r="I13" s="7">
        <v>411</v>
      </c>
      <c r="J13" s="3">
        <v>74125</v>
      </c>
      <c r="K13" t="str">
        <f ca="1">D9</f>
        <v>=PROFIT(C7;C5;C8;C4;C6)</v>
      </c>
    </row>
    <row r="14" spans="2:11">
      <c r="G14">
        <f>C6*1.1</f>
        <v>1210</v>
      </c>
      <c r="H14" s="6">
        <v>17099.717256779404</v>
      </c>
      <c r="I14" s="7">
        <v>441.53164532982959</v>
      </c>
      <c r="J14" s="3" cm="1">
        <f t="array" ref="J14">PROFIT(I14,C5,H14,C4,G14)</f>
        <v>101237.2152859997</v>
      </c>
      <c r="K14" t="str">
        <f ca="1">_xlfn.FORMULATEXT(J14)</f>
        <v>=PROFIT(I14;C5;H14;C4;G14)</v>
      </c>
    </row>
    <row r="15" spans="2:11" ht="17" thickBot="1"/>
    <row r="16" spans="2:11" ht="29" customHeight="1" thickBot="1">
      <c r="B16" s="23" t="s">
        <v>19</v>
      </c>
      <c r="C16" s="24"/>
      <c r="D16" s="28" t="s">
        <v>18</v>
      </c>
      <c r="E16" s="29"/>
      <c r="F16" s="29"/>
      <c r="G16" s="29"/>
      <c r="H16" s="29"/>
      <c r="I16" s="30"/>
    </row>
    <row r="17" spans="2:9" ht="17" customHeight="1" thickTop="1" thickBot="1">
      <c r="B17" s="25"/>
      <c r="C17" s="26"/>
      <c r="D17" s="19">
        <v>5000</v>
      </c>
      <c r="E17" s="19">
        <v>7000</v>
      </c>
      <c r="F17" s="19">
        <v>9000</v>
      </c>
      <c r="G17" s="19">
        <v>11000</v>
      </c>
      <c r="H17" s="19">
        <v>13000</v>
      </c>
      <c r="I17" s="20">
        <v>15000</v>
      </c>
    </row>
    <row r="18" spans="2:9">
      <c r="B18" s="21" t="s">
        <v>17</v>
      </c>
      <c r="C18" s="17">
        <v>330</v>
      </c>
      <c r="D18" s="13" cm="1">
        <f t="array" ref="D18">PROFIT($C18,$C$5,D$17,$C$4,$C$6)</f>
        <v>62205.72077407311</v>
      </c>
      <c r="E18" s="13" cm="1">
        <f t="array" ref="E18">PROFIT($C18,$C$5,E$17,$C$4,$C$6)</f>
        <v>62149.019454286026</v>
      </c>
      <c r="F18" s="13" cm="1">
        <f t="array" ref="F18">PROFIT($C18,$C$5,F$17,$C$4,$C$6)</f>
        <v>61829.36852703261</v>
      </c>
      <c r="G18" s="13" cm="1">
        <f t="array" ref="G18">PROFIT($C18,$C$5,G$17,$C$4,$C$6)</f>
        <v>61331.25177882718</v>
      </c>
      <c r="H18" s="13" cm="1">
        <f t="array" ref="H18">PROFIT($C18,$C$5,H$17,$C$4,$C$6)</f>
        <v>60701.750432761968</v>
      </c>
      <c r="I18" s="14" cm="1">
        <f t="array" ref="I18">PROFIT($C18,$C$5,I$17,$C$4,$C$6)</f>
        <v>59970.292127148728</v>
      </c>
    </row>
    <row r="19" spans="2:9">
      <c r="B19" s="21"/>
      <c r="C19" s="17">
        <v>340</v>
      </c>
      <c r="D19" s="13" cm="1">
        <f t="array" ref="D19">PROFIT($C19,$C$5,D$17,$C$4,$C$6)</f>
        <v>64871.573403312941</v>
      </c>
      <c r="E19" s="13" cm="1">
        <f t="array" ref="E19">PROFIT($C19,$C$5,E$17,$C$4,$C$6)</f>
        <v>64944.425328873389</v>
      </c>
      <c r="F19" s="13" cm="1">
        <f t="array" ref="F19">PROFIT($C19,$C$5,F$17,$C$4,$C$6)</f>
        <v>64736.797673136403</v>
      </c>
      <c r="G19" s="13" cm="1">
        <f t="array" ref="G19">PROFIT($C19,$C$5,G$17,$C$4,$C$6)</f>
        <v>64338.806475050602</v>
      </c>
      <c r="H19" s="13" cm="1">
        <f t="array" ref="H19">PROFIT($C19,$C$5,H$17,$C$4,$C$6)</f>
        <v>63800.671705914399</v>
      </c>
      <c r="I19" s="14" cm="1">
        <f t="array" ref="I19">PROFIT($C19,$C$5,I$17,$C$4,$C$6)</f>
        <v>63153.782846593604</v>
      </c>
    </row>
    <row r="20" spans="2:9">
      <c r="B20" s="21"/>
      <c r="C20" s="17">
        <v>350</v>
      </c>
      <c r="D20" s="13" cm="1">
        <f t="array" ref="D20">PROFIT($C20,$C$5,D$17,$C$4,$C$6)</f>
        <v>67134.09037015865</v>
      </c>
      <c r="E20" s="13" cm="1">
        <f t="array" ref="E20">PROFIT($C20,$C$5,E$17,$C$4,$C$6)</f>
        <v>67336.49554106663</v>
      </c>
      <c r="F20" s="13" cm="1">
        <f t="array" ref="F20">PROFIT($C20,$C$5,F$17,$C$4,$C$6)</f>
        <v>67240.89115684609</v>
      </c>
      <c r="G20" s="13" cm="1">
        <f t="array" ref="G20">PROFIT($C20,$C$5,G$17,$C$4,$C$6)</f>
        <v>66943.025508879931</v>
      </c>
      <c r="H20" s="13" cm="1">
        <f t="array" ref="H20">PROFIT($C20,$C$5,H$17,$C$4,$C$6)</f>
        <v>66496.257316672694</v>
      </c>
      <c r="I20" s="14" cm="1">
        <f t="array" ref="I20">PROFIT($C20,$C$5,I$17,$C$4,$C$6)</f>
        <v>65933.937903644357</v>
      </c>
    </row>
    <row r="21" spans="2:9">
      <c r="B21" s="21"/>
      <c r="C21" s="17">
        <v>360</v>
      </c>
      <c r="D21" s="13" cm="1">
        <f t="array" ref="D21">PROFIT($C21,$C$5,D$17,$C$4,$C$6)</f>
        <v>68991.80164911176</v>
      </c>
      <c r="E21" s="13" cm="1">
        <f t="array" ref="E21">PROFIT($C21,$C$5,E$17,$C$4,$C$6)</f>
        <v>69323.760065367256</v>
      </c>
      <c r="F21" s="13" cm="1">
        <f t="array" ref="F21">PROFIT($C21,$C$5,F$17,$C$4,$C$6)</f>
        <v>69340.178952663147</v>
      </c>
      <c r="G21" s="13" cm="1">
        <f t="array" ref="G21">PROFIT($C21,$C$5,G$17,$C$4,$C$6)</f>
        <v>69142.438854816632</v>
      </c>
      <c r="H21" s="13" cm="1">
        <f t="array" ref="H21">PROFIT($C21,$C$5,H$17,$C$4,$C$6)</f>
        <v>68787.037239538389</v>
      </c>
      <c r="I21" s="14" cm="1">
        <f t="array" ref="I21">PROFIT($C21,$C$5,I$17,$C$4,$C$6)</f>
        <v>68309.287272802496</v>
      </c>
    </row>
    <row r="22" spans="2:9">
      <c r="B22" s="21"/>
      <c r="C22" s="17">
        <v>370</v>
      </c>
      <c r="D22" s="13" cm="1">
        <f t="array" ref="D22">PROFIT($C22,$C$5,D$17,$C$4,$C$6)</f>
        <v>70443.28193329378</v>
      </c>
      <c r="E22" s="13" cm="1">
        <f t="array" ref="E22">PROFIT($C22,$C$5,E$17,$C$4,$C$6)</f>
        <v>70904.793594896808</v>
      </c>
      <c r="F22" s="13" cm="1">
        <f t="array" ref="F22">PROFIT($C22,$C$5,F$17,$C$4,$C$6)</f>
        <v>71033.235753709145</v>
      </c>
      <c r="G22" s="13" cm="1">
        <f t="array" ref="G22">PROFIT($C22,$C$5,G$17,$C$4,$C$6)</f>
        <v>70935.621205982257</v>
      </c>
      <c r="H22" s="13" cm="1">
        <f t="array" ref="H22">PROFIT($C22,$C$5,H$17,$C$4,$C$6)</f>
        <v>70671.58616763301</v>
      </c>
      <c r="I22" s="14" cm="1">
        <f t="array" ref="I22">PROFIT($C22,$C$5,I$17,$C$4,$C$6)</f>
        <v>70278.405647189575</v>
      </c>
    </row>
    <row r="23" spans="2:9">
      <c r="B23" s="21"/>
      <c r="C23" s="17">
        <v>380</v>
      </c>
      <c r="D23" s="13" cm="1">
        <f t="array" ref="D23">PROFIT($C23,$C$5,D$17,$C$4,$C$6)</f>
        <v>71487.147927432263</v>
      </c>
      <c r="E23" s="13" cm="1">
        <f t="array" ref="E23">PROFIT($C23,$C$5,E$17,$C$4,$C$6)</f>
        <v>72078.212834382823</v>
      </c>
      <c r="F23" s="13" cm="1">
        <f t="array" ref="F23">PROFIT($C23,$C$5,F$17,$C$4,$C$6)</f>
        <v>72318.678264711576</v>
      </c>
      <c r="G23" s="13" cm="1">
        <f t="array" ref="G23">PROFIT($C23,$C$5,G$17,$C$4,$C$6)</f>
        <v>72321.189267104346</v>
      </c>
      <c r="H23" s="13" cm="1">
        <f t="array" ref="H23">PROFIT($C23,$C$5,H$17,$C$4,$C$6)</f>
        <v>72148.520805684078</v>
      </c>
      <c r="I23" s="14" cm="1">
        <f t="array" ref="I23">PROFIT($C23,$C$5,I$17,$C$4,$C$6)</f>
        <v>71839.909731533087</v>
      </c>
    </row>
    <row r="24" spans="2:9">
      <c r="B24" s="21"/>
      <c r="C24" s="17">
        <v>390</v>
      </c>
      <c r="D24" s="13" cm="1">
        <f t="array" ref="D24">PROFIT($C24,$C$5,D$17,$C$4,$C$6)</f>
        <v>72122.055878895233</v>
      </c>
      <c r="E24" s="13" cm="1">
        <f t="array" ref="E24">PROFIT($C24,$C$5,E$17,$C$4,$C$6)</f>
        <v>72842.674031193324</v>
      </c>
      <c r="F24" s="13" cm="1">
        <f t="array" ref="F24">PROFIT($C24,$C$5,F$17,$C$4,$C$6)</f>
        <v>73195.162733038524</v>
      </c>
      <c r="G24" s="13" cm="1">
        <f t="array" ref="G24">PROFIT($C24,$C$5,G$17,$C$4,$C$6)</f>
        <v>73297.799285550922</v>
      </c>
      <c r="H24" s="13" cm="1">
        <f t="array" ref="H24">PROFIT($C24,$C$5,H$17,$C$4,$C$6)</f>
        <v>73216.497401059649</v>
      </c>
      <c r="I24" s="14" cm="1">
        <f t="array" ref="I24">PROFIT($C24,$C$5,I$17,$C$4,$C$6)</f>
        <v>72992.455773201102</v>
      </c>
    </row>
    <row r="25" spans="2:9">
      <c r="B25" s="21"/>
      <c r="C25" s="17">
        <v>400</v>
      </c>
      <c r="D25" s="13" cm="1">
        <f t="array" ref="D25">PROFIT($C25,$C$5,D$17,$C$4,$C$6)</f>
        <v>72346.699319808919</v>
      </c>
      <c r="E25" s="13" cm="1">
        <f t="array" ref="E25">PROFIT($C25,$C$5,E$17,$C$4,$C$6)</f>
        <v>73196.870717454527</v>
      </c>
      <c r="F25" s="13" cm="1">
        <f t="array" ref="F25">PROFIT($C25,$C$5,F$17,$C$4,$C$6)</f>
        <v>73661.382690816172</v>
      </c>
      <c r="G25" s="13" cm="1">
        <f t="array" ref="G25">PROFIT($C25,$C$5,G$17,$C$4,$C$6)</f>
        <v>73864.144793448198</v>
      </c>
      <c r="H25" s="13" cm="1">
        <f t="array" ref="H25">PROFIT($C25,$C$5,H$17,$C$4,$C$6)</f>
        <v>73874.209485885905</v>
      </c>
      <c r="I25" s="14" cm="1">
        <f t="array" ref="I25">PROFIT($C25,$C$5,I$17,$C$4,$C$6)</f>
        <v>73734.737304319831</v>
      </c>
    </row>
    <row r="26" spans="2:9">
      <c r="B26" s="21"/>
      <c r="C26" s="17">
        <v>410</v>
      </c>
      <c r="D26" s="13" cm="1">
        <f t="array" ref="D26">PROFIT($C26,$C$5,D$17,$C$4,$C$6)</f>
        <v>72159.806996986343</v>
      </c>
      <c r="E26" s="13" cm="1">
        <f t="array" ref="E26">PROFIT($C26,$C$5,E$17,$C$4,$C$6)</f>
        <v>73139.531639979483</v>
      </c>
      <c r="F26" s="13" cm="1">
        <f t="array" ref="F26">PROFIT($C26,$C$5,F$17,$C$4,$C$6)</f>
        <v>73716.066884857559</v>
      </c>
      <c r="G26" s="13" cm="1">
        <f t="array" ref="G26">PROFIT($C26,$C$5,G$17,$C$4,$C$6)</f>
        <v>74018.954537609228</v>
      </c>
      <c r="H26" s="13" cm="1">
        <f t="array" ref="H26">PROFIT($C26,$C$5,H$17,$C$4,$C$6)</f>
        <v>74120.38580697593</v>
      </c>
      <c r="I26" s="14" cm="1">
        <f t="array" ref="I26">PROFIT($C26,$C$5,I$17,$C$4,$C$6)</f>
        <v>74065.483071702285</v>
      </c>
    </row>
    <row r="27" spans="2:9">
      <c r="B27" s="21"/>
      <c r="C27" s="17">
        <v>420</v>
      </c>
      <c r="D27" s="13" cm="1">
        <f t="array" ref="D27">PROFIT($C27,$C$5,D$17,$C$4,$C$6)</f>
        <v>71560.140969503045</v>
      </c>
      <c r="E27" s="13" cm="1">
        <f t="array" ref="E27">PROFIT($C27,$C$5,E$17,$C$4,$C$6)</f>
        <v>72669.418857843717</v>
      </c>
      <c r="F27" s="13" cm="1">
        <f t="array" ref="F27">PROFIT($C27,$C$5,F$17,$C$4,$C$6)</f>
        <v>73357.977374238224</v>
      </c>
      <c r="G27" s="13" cm="1">
        <f t="array" ref="G27">PROFIT($C27,$C$5,G$17,$C$4,$C$6)</f>
        <v>73760.990577109536</v>
      </c>
      <c r="H27" s="13" cm="1">
        <f t="array" ref="H27">PROFIT($C27,$C$5,H$17,$C$4,$C$6)</f>
        <v>73953.788423405218</v>
      </c>
      <c r="I27" s="14" cm="1">
        <f t="array" ref="I27">PROFIT($C27,$C$5,I$17,$C$4,$C$6)</f>
        <v>73983.455134424032</v>
      </c>
    </row>
    <row r="28" spans="2:9" ht="17" thickBot="1">
      <c r="B28" s="22"/>
      <c r="C28" s="18">
        <v>430</v>
      </c>
      <c r="D28" s="15" cm="1">
        <f t="array" ref="D28">PROFIT($C28,$C$5,D$17,$C$4,$C$6)</f>
        <v>70546.494856369434</v>
      </c>
      <c r="E28" s="15" cm="1">
        <f t="array" ref="E28">PROFIT($C28,$C$5,E$17,$C$4,$C$6)</f>
        <v>71785.325990057623</v>
      </c>
      <c r="F28" s="15" cm="1">
        <f t="array" ref="F28">PROFIT($C28,$C$5,F$17,$C$4,$C$6)</f>
        <v>72585.90777796859</v>
      </c>
      <c r="G28" s="15" cm="1">
        <f t="array" ref="G28">PROFIT($C28,$C$5,G$17,$C$4,$C$6)</f>
        <v>73089.046530959531</v>
      </c>
      <c r="H28" s="15" cm="1">
        <f t="array" ref="H28">PROFIT($C28,$C$5,H$17,$C$4,$C$6)</f>
        <v>73373.210954184207</v>
      </c>
      <c r="I28" s="16" cm="1">
        <f t="array" ref="I28">PROFIT($C28,$C$5,I$17,$C$4,$C$6)</f>
        <v>73487.447111495465</v>
      </c>
    </row>
  </sheetData>
  <mergeCells count="3">
    <mergeCell ref="B18:B28"/>
    <mergeCell ref="D16:I16"/>
    <mergeCell ref="B16:C17"/>
  </mergeCells>
  <conditionalFormatting sqref="D18:I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Profit &amp; Demand 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Järvheden</dc:creator>
  <cp:lastModifiedBy>Alexander Järvheden</cp:lastModifiedBy>
  <dcterms:created xsi:type="dcterms:W3CDTF">2023-09-01T07:37:35Z</dcterms:created>
  <dcterms:modified xsi:type="dcterms:W3CDTF">2023-09-06T07:21:37Z</dcterms:modified>
</cp:coreProperties>
</file>